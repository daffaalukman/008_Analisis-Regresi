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AE27B4A-6EAF-486F-AE92-D9CC1692E4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6" l="1"/>
  <c r="Q7" i="6"/>
  <c r="Q6" i="6"/>
  <c r="P13" i="6" s="1"/>
  <c r="P11" i="6"/>
  <c r="P10" i="6"/>
  <c r="P9" i="6"/>
  <c r="P8" i="6"/>
  <c r="P7" i="6"/>
  <c r="P6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2" i="6"/>
</calcChain>
</file>

<file path=xl/sharedStrings.xml><?xml version="1.0" encoding="utf-8"?>
<sst xmlns="http://schemas.openxmlformats.org/spreadsheetml/2006/main" count="2312" uniqueCount="1740">
  <si>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</si>
  <si>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</si>
  <si>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</si>
  <si>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</si>
  <si>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</si>
  <si>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</si>
  <si>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</si>
  <si>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</si>
  <si>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</si>
  <si>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</si>
  <si>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</si>
  <si>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</si>
  <si>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</si>
  <si>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</si>
  <si>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</si>
  <si>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</si>
  <si>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</si>
  <si>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</si>
  <si>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</si>
  <si>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</si>
  <si>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</si>
  <si>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</si>
  <si>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</si>
  <si>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</si>
  <si>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</si>
  <si>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</si>
  <si>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</si>
  <si>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</si>
  <si>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</si>
  <si>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</si>
  <si>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</si>
  <si>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</si>
  <si>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</si>
  <si>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</si>
  <si>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</si>
  <si>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</si>
  <si>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</si>
  <si>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</si>
  <si>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</si>
  <si>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</si>
  <si>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</si>
  <si>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</si>
  <si>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</si>
  <si>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</si>
  <si>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</si>
  <si>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</si>
  <si>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</si>
  <si>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</si>
  <si>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</si>
  <si>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</si>
  <si>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</si>
  <si>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</si>
  <si>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</si>
  <si>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</si>
  <si>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</si>
  <si>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</si>
  <si>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</si>
  <si>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</si>
  <si>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</si>
  <si>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</si>
  <si>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</si>
  <si>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</si>
  <si>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</si>
  <si>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</si>
  <si>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</si>
  <si>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</si>
  <si>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</si>
  <si>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</si>
  <si>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</si>
  <si>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</si>
  <si>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</si>
  <si>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</si>
  <si>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</si>
  <si>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</si>
  <si>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</si>
  <si>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</si>
  <si>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</si>
  <si>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</si>
  <si>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</si>
  <si>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</si>
  <si>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</si>
  <si>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</si>
  <si>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</si>
  <si>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</si>
  <si>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</si>
  <si>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</si>
  <si>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</si>
  <si>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</si>
  <si>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</si>
  <si>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</si>
  <si>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</si>
  <si>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</si>
  <si>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</si>
  <si>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</si>
  <si>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</si>
  <si>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</si>
  <si>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</si>
  <si>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</si>
  <si>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</si>
  <si>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</si>
  <si>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</si>
  <si>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</si>
  <si>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</si>
  <si>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</si>
  <si>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</si>
  <si>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</si>
  <si>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</si>
  <si>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</si>
  <si>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</si>
  <si>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</si>
  <si>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</si>
  <si>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</si>
  <si>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</si>
  <si>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</si>
  <si>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</si>
  <si>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</si>
  <si>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</si>
  <si>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</si>
  <si>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</si>
  <si>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</si>
  <si>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</si>
  <si>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</si>
  <si>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</si>
  <si>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</si>
  <si>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</si>
  <si>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</si>
  <si>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</si>
  <si>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</si>
  <si>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</si>
  <si>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</si>
  <si>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</si>
  <si>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</si>
  <si>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</si>
  <si>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</si>
  <si>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</si>
  <si>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</si>
  <si>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</si>
  <si>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</si>
  <si>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</si>
  <si>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</si>
  <si>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</si>
  <si>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</si>
  <si>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</si>
  <si>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</si>
  <si>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</si>
  <si>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</si>
  <si>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</si>
  <si>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</si>
  <si>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</si>
  <si>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</si>
  <si>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</si>
  <si>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</si>
  <si>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</si>
  <si>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</si>
  <si>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</si>
  <si>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</si>
  <si>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</si>
  <si>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</si>
  <si>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</si>
  <si>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</si>
  <si>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</si>
  <si>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</si>
  <si>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</si>
  <si>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</si>
  <si>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</si>
  <si>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</si>
  <si>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</si>
  <si>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</si>
  <si>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</si>
  <si>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</si>
  <si>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</si>
  <si>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</si>
  <si>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</si>
  <si>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</si>
  <si>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</si>
  <si>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</si>
  <si>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</si>
  <si>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</si>
  <si>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</si>
  <si>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</si>
  <si>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</si>
  <si>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</si>
  <si>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</si>
  <si>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</si>
  <si>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</si>
  <si>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</si>
  <si>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</si>
  <si>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</si>
  <si>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</si>
  <si>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</si>
  <si>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</si>
  <si>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</si>
  <si>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</si>
  <si>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</si>
  <si>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</si>
  <si>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</si>
  <si>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</si>
  <si>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</si>
  <si>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</si>
  <si>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</si>
  <si>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</si>
  <si>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</si>
  <si>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</si>
  <si>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</si>
  <si>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</si>
  <si>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</si>
  <si>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</si>
  <si>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</si>
  <si>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</si>
  <si>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</si>
  <si>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</si>
  <si>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</si>
  <si>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</si>
  <si>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</si>
  <si>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</si>
  <si>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</si>
  <si>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</si>
  <si>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</si>
  <si>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</si>
  <si>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</si>
  <si>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</si>
  <si>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</si>
  <si>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</si>
  <si>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</si>
  <si>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</si>
  <si>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</si>
  <si>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</si>
  <si>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</si>
  <si>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</si>
  <si>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</si>
  <si>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</si>
  <si>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</si>
  <si>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</si>
  <si>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</si>
  <si>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</si>
  <si>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</si>
  <si>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</si>
  <si>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</si>
  <si>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</si>
  <si>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</si>
  <si>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</si>
  <si>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</si>
  <si>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</si>
  <si>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</si>
  <si>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</si>
  <si>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</si>
  <si>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</si>
  <si>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</si>
  <si>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</si>
  <si>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</si>
  <si>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</si>
  <si>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</si>
  <si>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</si>
  <si>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</si>
  <si>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</si>
  <si>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</si>
  <si>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</si>
  <si>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</si>
  <si>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</si>
  <si>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</si>
  <si>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</si>
  <si>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</si>
  <si>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</si>
  <si>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</si>
  <si>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</si>
  <si>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</si>
  <si>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</si>
  <si>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</si>
  <si>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</si>
  <si>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</si>
  <si>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</si>
  <si>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</si>
  <si>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</si>
  <si>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</si>
  <si>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</si>
  <si>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</si>
  <si>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</si>
  <si>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</si>
  <si>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</si>
  <si>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</si>
  <si>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</si>
  <si>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</si>
  <si>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</si>
  <si>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</si>
  <si>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</si>
  <si>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</si>
  <si>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</si>
  <si>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</si>
  <si>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</si>
  <si>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</si>
  <si>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</si>
  <si>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</si>
  <si>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</si>
  <si>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</si>
  <si>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</si>
  <si>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</si>
  <si>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</si>
  <si>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</si>
  <si>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</si>
  <si>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</si>
  <si>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</si>
  <si>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</si>
  <si>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</si>
  <si>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</si>
  <si>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</si>
  <si>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</si>
  <si>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</si>
  <si>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</si>
  <si>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</si>
  <si>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</si>
  <si>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</si>
  <si>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</si>
  <si>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</si>
  <si>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</si>
  <si>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</si>
  <si>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</si>
  <si>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</si>
  <si>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</si>
  <si>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</si>
  <si>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</si>
  <si>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</si>
  <si>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</si>
  <si>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</si>
  <si>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</si>
  <si>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</si>
  <si>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</si>
  <si>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</si>
  <si>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</si>
  <si>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</si>
  <si>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</si>
  <si>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</si>
  <si>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</si>
  <si>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</si>
  <si>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</si>
  <si>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</si>
  <si>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</si>
  <si>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</si>
  <si>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</si>
  <si>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</si>
  <si>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</si>
  <si>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</si>
  <si>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</si>
  <si>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</si>
  <si>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</si>
  <si>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</si>
  <si>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</si>
  <si>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</si>
  <si>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</si>
  <si>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</si>
  <si>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</si>
  <si>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</si>
  <si>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</si>
  <si>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</si>
  <si>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</si>
  <si>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</si>
  <si>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</si>
  <si>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</si>
  <si>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</si>
  <si>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</si>
  <si>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</si>
  <si>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</si>
  <si>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</si>
  <si>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</si>
  <si>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</si>
  <si>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</si>
  <si>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</si>
  <si>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</si>
  <si>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</si>
  <si>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</si>
  <si>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</si>
  <si>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</si>
  <si>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</si>
  <si>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</si>
  <si>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</si>
  <si>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</si>
  <si>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</si>
  <si>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</si>
  <si>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</si>
  <si>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</si>
  <si>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</si>
  <si>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</si>
  <si>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</si>
  <si>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</si>
  <si>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</si>
  <si>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</si>
  <si>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</si>
  <si>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</si>
  <si>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</si>
  <si>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</si>
  <si>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</si>
  <si>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</si>
  <si>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</si>
  <si>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</si>
  <si>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</si>
  <si>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</si>
  <si>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</si>
  <si>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</si>
  <si>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</si>
  <si>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</si>
  <si>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</si>
  <si>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</si>
  <si>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</si>
  <si>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</si>
  <si>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</si>
  <si>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</si>
  <si>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</si>
  <si>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</si>
  <si>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</si>
  <si>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</si>
  <si>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</si>
  <si>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</si>
  <si>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</si>
  <si>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</si>
  <si>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</si>
  <si>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</si>
  <si>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</si>
  <si>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</si>
  <si>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</si>
  <si>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</si>
  <si>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</si>
  <si>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</si>
  <si>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</si>
  <si>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</si>
  <si>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</si>
  <si>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</si>
  <si>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</si>
  <si>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</si>
  <si>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</si>
  <si>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</si>
  <si>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</si>
  <si>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</si>
  <si>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</si>
  <si>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</si>
  <si>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</si>
  <si>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</si>
  <si>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</si>
  <si>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</si>
  <si>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</si>
  <si>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</si>
  <si>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</si>
  <si>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</si>
  <si>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</si>
  <si>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</si>
  <si>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</si>
  <si>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</si>
  <si>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</si>
  <si>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</si>
  <si>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</si>
  <si>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</si>
  <si>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</si>
  <si>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</si>
  <si>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</si>
  <si>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</si>
  <si>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</si>
  <si>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</si>
  <si>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</si>
  <si>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</si>
  <si>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</si>
  <si>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</si>
  <si>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</si>
  <si>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</si>
  <si>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</si>
  <si>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</si>
  <si>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</si>
  <si>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</si>
  <si>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</si>
  <si>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</si>
  <si>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</si>
  <si>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</si>
  <si>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</si>
  <si>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</si>
  <si>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</si>
  <si>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</si>
  <si>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</si>
  <si>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</si>
  <si>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</si>
  <si>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</si>
  <si>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</si>
  <si>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</si>
  <si>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</si>
  <si>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</si>
  <si>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</si>
  <si>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</si>
  <si>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</si>
  <si>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</si>
  <si>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</si>
  <si>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</si>
  <si>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</si>
  <si>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</si>
  <si>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</si>
  <si>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</si>
  <si>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</si>
  <si>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</si>
  <si>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</si>
  <si>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</si>
  <si>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</si>
  <si>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</si>
  <si>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</si>
  <si>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</si>
  <si>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</si>
  <si>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</si>
  <si>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</si>
  <si>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</si>
  <si>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</si>
  <si>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</si>
  <si>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</si>
  <si>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</si>
  <si>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</si>
  <si>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</si>
  <si>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</si>
  <si>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</si>
  <si>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</si>
  <si>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</si>
  <si>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</si>
  <si>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</si>
  <si>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</si>
  <si>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</si>
  <si>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</si>
  <si>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</si>
  <si>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</si>
  <si>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</si>
  <si>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</si>
  <si>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</si>
  <si>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</si>
  <si>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</si>
  <si>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</si>
  <si>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</si>
  <si>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</si>
  <si>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</si>
  <si>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</si>
  <si>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</si>
  <si>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</si>
  <si>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</si>
  <si>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</si>
  <si>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</si>
  <si>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</si>
  <si>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</si>
  <si>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</si>
  <si>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</si>
  <si>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</si>
  <si>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</si>
  <si>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</si>
  <si>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</si>
  <si>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</si>
  <si>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</si>
  <si>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</si>
  <si>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</si>
  <si>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</si>
  <si>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</si>
  <si>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</si>
  <si>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</si>
  <si>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</si>
  <si>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</si>
  <si>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</si>
  <si>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</si>
  <si>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</si>
  <si>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</si>
  <si>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</si>
  <si>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</si>
  <si>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</si>
  <si>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</si>
  <si>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</si>
  <si>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</si>
  <si>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</si>
  <si>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</si>
  <si>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</si>
  <si>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</si>
  <si>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</si>
  <si>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</si>
  <si>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</si>
  <si>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</si>
  <si>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</si>
  <si>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</si>
  <si>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</si>
  <si>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</si>
  <si>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</si>
  <si>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</si>
  <si>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</si>
  <si>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</si>
  <si>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</si>
  <si>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</si>
  <si>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</si>
  <si>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</si>
  <si>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</si>
  <si>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</si>
  <si>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</si>
  <si>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</si>
  <si>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</si>
  <si>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</si>
  <si>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</si>
  <si>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</si>
  <si>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</si>
  <si>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</si>
  <si>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</si>
  <si>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</si>
  <si>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</si>
  <si>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</si>
  <si>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</si>
  <si>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</si>
  <si>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</si>
  <si>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</si>
  <si>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</si>
  <si>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</si>
  <si>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</si>
  <si>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</si>
  <si>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</si>
  <si>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</si>
  <si>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</si>
  <si>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</si>
  <si>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</si>
  <si>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</si>
  <si>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</si>
  <si>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</si>
  <si>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</si>
  <si>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</si>
  <si>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</si>
  <si>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</si>
  <si>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</si>
  <si>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</si>
  <si>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</si>
  <si>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</si>
  <si>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</si>
  <si>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</si>
  <si>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</si>
  <si>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</si>
  <si>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</si>
  <si>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</si>
  <si>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</si>
  <si>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</si>
  <si>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</si>
  <si>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</si>
  <si>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</si>
  <si>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</si>
  <si>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</si>
  <si>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</si>
  <si>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</si>
  <si>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</si>
  <si>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</si>
  <si>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</si>
  <si>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</si>
  <si>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</si>
  <si>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</si>
  <si>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</si>
  <si>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</si>
  <si>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</si>
  <si>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</si>
  <si>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</si>
  <si>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</si>
  <si>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</si>
  <si>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</si>
  <si>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</si>
  <si>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</si>
  <si>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</si>
  <si>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</si>
  <si>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</si>
  <si>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</si>
  <si>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</si>
  <si>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</si>
  <si>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</si>
  <si>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</si>
  <si>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</si>
  <si>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</si>
  <si>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</si>
  <si>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</si>
  <si>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</si>
  <si>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</si>
  <si>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</si>
  <si>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</si>
  <si>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</si>
  <si>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</si>
  <si>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</si>
  <si>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</si>
  <si>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</si>
  <si>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</si>
  <si>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</si>
  <si>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</si>
  <si>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</si>
  <si>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</si>
  <si>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</si>
  <si>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</si>
  <si>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</si>
  <si>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</si>
  <si>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</si>
  <si>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</si>
  <si>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</si>
  <si>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</si>
  <si>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</si>
  <si>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</si>
  <si>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</si>
  <si>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</si>
  <si>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</si>
  <si>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</si>
  <si>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</si>
  <si>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</si>
  <si>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</si>
  <si>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</si>
  <si>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</si>
  <si>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</si>
  <si>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</si>
  <si>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</si>
  <si>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</si>
  <si>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</si>
  <si>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</si>
  <si>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</si>
  <si>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</si>
  <si>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</si>
  <si>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</si>
  <si>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</si>
  <si>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</si>
  <si>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</si>
  <si>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</si>
  <si>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</si>
  <si>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</si>
  <si>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</si>
  <si>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</si>
  <si>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</si>
  <si>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</si>
  <si>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</si>
  <si>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</si>
  <si>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</si>
  <si>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</si>
  <si>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</si>
  <si>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</si>
  <si>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</si>
  <si>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</si>
  <si>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</si>
  <si>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</si>
  <si>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</si>
  <si>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</si>
  <si>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</si>
  <si>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</si>
  <si>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</si>
  <si>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</si>
  <si>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</si>
  <si>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</si>
  <si>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</si>
  <si>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</si>
  <si>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</si>
  <si>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</si>
  <si>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</si>
  <si>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</si>
  <si>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</si>
  <si>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</si>
  <si>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</si>
  <si>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</si>
  <si>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</si>
  <si>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</si>
  <si>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</si>
  <si>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</si>
  <si>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</si>
  <si>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</si>
  <si>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</si>
  <si>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</si>
  <si>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</si>
  <si>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</si>
  <si>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</si>
  <si>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</si>
  <si>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</si>
  <si>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</si>
  <si>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</si>
  <si>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</si>
  <si>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</si>
  <si>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</si>
  <si>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</si>
  <si>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</si>
  <si>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</si>
  <si>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</si>
  <si>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</si>
  <si>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</si>
  <si>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</si>
  <si>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</si>
  <si>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</si>
  <si>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</si>
  <si>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</si>
  <si>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</si>
  <si>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</si>
  <si>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</si>
  <si>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</si>
  <si>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</si>
  <si>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</si>
  <si>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</si>
  <si>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</si>
  <si>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</si>
  <si>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</si>
  <si>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</si>
  <si>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</si>
  <si>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</si>
  <si>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</si>
  <si>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</si>
  <si>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</si>
  <si>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</si>
  <si>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</si>
  <si>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</si>
  <si>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</si>
  <si>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</si>
  <si>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</si>
  <si>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</si>
  <si>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</si>
  <si>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</si>
  <si>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</si>
  <si>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</si>
  <si>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</si>
  <si>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</si>
  <si>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</si>
  <si>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</si>
  <si>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</si>
  <si>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</si>
  <si>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</si>
  <si>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</si>
  <si>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</si>
  <si>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</si>
  <si>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</si>
  <si>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</si>
  <si>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</si>
  <si>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</si>
  <si>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</si>
  <si>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</si>
  <si>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</si>
  <si>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</si>
  <si>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</si>
  <si>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</si>
  <si>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</si>
  <si>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</si>
  <si>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</si>
  <si>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</si>
  <si>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</si>
  <si>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</si>
  <si>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</si>
  <si>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</si>
  <si>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</si>
  <si>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</si>
  <si>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</si>
  <si>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</si>
  <si>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</si>
  <si>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</si>
  <si>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</si>
  <si>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</si>
  <si>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</si>
  <si>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</si>
  <si>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</si>
  <si>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</si>
  <si>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</si>
  <si>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</si>
  <si>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</si>
  <si>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</si>
  <si>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</si>
  <si>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</si>
  <si>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</si>
  <si>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</si>
  <si>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</si>
  <si>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</si>
  <si>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</si>
  <si>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</si>
  <si>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</si>
  <si>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</si>
  <si>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</si>
  <si>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</si>
  <si>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</si>
  <si>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</si>
  <si>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</si>
  <si>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</si>
  <si>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</si>
  <si>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</si>
  <si>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</si>
  <si>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</si>
  <si>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</si>
  <si>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</si>
  <si>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</si>
  <si>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</si>
  <si>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</si>
  <si>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</si>
  <si>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</si>
  <si>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</si>
  <si>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</si>
  <si>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</si>
  <si>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</si>
  <si>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</si>
  <si>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</si>
  <si>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</si>
  <si>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</si>
  <si>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</si>
  <si>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</si>
  <si>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</si>
  <si>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</si>
  <si>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</si>
  <si>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</si>
  <si>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</si>
  <si>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</si>
  <si>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</si>
  <si>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</si>
  <si>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</si>
  <si>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</si>
  <si>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</si>
  <si>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</si>
  <si>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</si>
  <si>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</si>
  <si>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</si>
  <si>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</si>
  <si>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</si>
  <si>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</si>
  <si>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</si>
  <si>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</si>
  <si>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</si>
  <si>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</si>
  <si>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</si>
  <si>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</si>
  <si>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</si>
  <si>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</si>
  <si>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</si>
  <si>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</si>
  <si>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</si>
  <si>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</si>
  <si>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</si>
  <si>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</si>
  <si>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</si>
  <si>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</si>
  <si>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</si>
  <si>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</si>
  <si>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</si>
  <si>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</si>
  <si>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</si>
  <si>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</si>
  <si>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</si>
  <si>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</si>
  <si>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</si>
  <si>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</si>
  <si>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</si>
  <si>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</si>
  <si>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</si>
  <si>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</si>
  <si>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</si>
  <si>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</si>
  <si>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</si>
  <si>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</si>
  <si>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</si>
  <si>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</si>
  <si>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</si>
  <si>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</si>
  <si>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</si>
  <si>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</si>
  <si>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</si>
  <si>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</si>
  <si>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</si>
  <si>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</si>
  <si>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</si>
  <si>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</si>
  <si>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</si>
  <si>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</si>
  <si>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</si>
  <si>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</si>
  <si>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</si>
  <si>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</si>
  <si>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</si>
  <si>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</si>
  <si>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</si>
  <si>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</si>
  <si>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</si>
  <si>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</si>
  <si>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</si>
  <si>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</si>
  <si>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</si>
  <si>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</si>
  <si>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</si>
  <si>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</si>
  <si>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</si>
  <si>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</si>
  <si>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</si>
  <si>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</si>
  <si>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</si>
  <si>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</si>
  <si>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</si>
  <si>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</si>
  <si>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</si>
  <si>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</si>
  <si>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</si>
  <si>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</si>
  <si>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</si>
  <si>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</si>
  <si>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</si>
  <si>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</si>
  <si>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</si>
  <si>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</si>
  <si>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</si>
  <si>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</si>
  <si>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</si>
  <si>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</si>
  <si>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</si>
  <si>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</si>
  <si>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</si>
  <si>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</si>
  <si>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</si>
  <si>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</si>
  <si>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</si>
  <si>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</si>
  <si>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</si>
  <si>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</si>
  <si>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</si>
  <si>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</si>
  <si>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</si>
  <si>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</si>
  <si>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</si>
  <si>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</si>
  <si>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</si>
  <si>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</si>
  <si>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</si>
  <si>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</si>
  <si>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</si>
  <si>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</si>
  <si>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</si>
  <si>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</si>
  <si>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</si>
  <si>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</si>
  <si>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</si>
  <si>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</si>
  <si>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</si>
  <si>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</si>
  <si>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</si>
  <si>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</si>
  <si>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</si>
  <si>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</si>
  <si>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</si>
  <si>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</si>
  <si>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</si>
  <si>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</si>
  <si>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</si>
  <si>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</si>
  <si>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</si>
  <si>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</si>
  <si>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</si>
  <si>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</si>
  <si>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</si>
  <si>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</si>
  <si>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</si>
  <si>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</si>
  <si>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</si>
  <si>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</si>
  <si>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</si>
  <si>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</si>
  <si>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</si>
  <si>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</si>
  <si>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</si>
  <si>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</si>
  <si>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</si>
  <si>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</si>
  <si>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</si>
  <si>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</si>
  <si>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</si>
  <si>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</si>
  <si>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</si>
  <si>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</si>
  <si>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</si>
  <si>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</si>
  <si>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</si>
  <si>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</si>
  <si>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</si>
  <si>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</si>
  <si>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</si>
  <si>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</si>
  <si>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</si>
  <si>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</si>
  <si>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</si>
  <si>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</si>
  <si>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</si>
  <si>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</si>
  <si>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</si>
  <si>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</si>
  <si>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</si>
  <si>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</si>
  <si>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</si>
  <si>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</si>
  <si>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</si>
  <si>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</si>
  <si>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</si>
  <si>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</si>
  <si>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</si>
  <si>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</si>
  <si>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</si>
  <si>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</si>
  <si>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</si>
  <si>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</si>
  <si>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</si>
  <si>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</si>
  <si>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</si>
  <si>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</si>
  <si>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</si>
  <si>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</si>
  <si>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</si>
  <si>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</si>
  <si>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</si>
  <si>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</si>
  <si>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</si>
  <si>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</si>
  <si>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</si>
  <si>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</si>
  <si>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</si>
  <si>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</si>
  <si>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</si>
  <si>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</si>
  <si>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</si>
  <si>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</si>
  <si>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</si>
  <si>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</si>
  <si>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</si>
  <si>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</si>
  <si>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</si>
  <si>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</si>
  <si>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</si>
  <si>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</si>
  <si>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</si>
  <si>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</si>
  <si>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</si>
  <si>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</si>
  <si>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</si>
  <si>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</si>
  <si>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</si>
  <si>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</si>
  <si>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</si>
  <si>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</si>
  <si>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</si>
  <si>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</si>
  <si>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</si>
  <si>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</si>
  <si>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</si>
  <si>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</si>
  <si>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</si>
  <si>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</si>
  <si>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</si>
  <si>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</si>
  <si>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</si>
  <si>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</si>
  <si>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</si>
  <si>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</si>
  <si>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</si>
  <si>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</si>
  <si>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</si>
  <si>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</si>
  <si>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</si>
  <si>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</si>
  <si>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</si>
  <si>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</si>
  <si>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</si>
  <si>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</si>
  <si>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</si>
  <si>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</si>
  <si>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</si>
  <si>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</si>
  <si>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</si>
  <si>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</si>
  <si>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</si>
  <si>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</si>
  <si>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</si>
  <si>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</si>
  <si>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</si>
  <si>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</si>
  <si>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</si>
  <si>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</si>
  <si>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</si>
  <si>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</si>
  <si>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</si>
  <si>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</si>
  <si>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</si>
  <si>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</si>
  <si>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</si>
  <si>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</si>
  <si>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</si>
  <si>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</si>
  <si>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</si>
  <si>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</si>
  <si>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</si>
  <si>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</si>
  <si>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</si>
  <si>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</si>
  <si>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</si>
  <si>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</si>
  <si>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</si>
  <si>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</si>
  <si>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</si>
  <si>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</si>
  <si>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</si>
  <si>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</si>
  <si>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</si>
  <si>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</si>
  <si>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</si>
  <si>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</si>
  <si>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</si>
  <si>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</si>
  <si>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</si>
  <si>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</si>
  <si>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</si>
  <si>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</si>
  <si>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</si>
  <si>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</si>
  <si>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</si>
  <si>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</si>
  <si>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</si>
  <si>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</si>
  <si>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</si>
  <si>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</si>
  <si>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</si>
  <si>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</si>
  <si>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</si>
  <si>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</si>
  <si>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</si>
  <si>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</si>
  <si>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</si>
  <si>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</si>
  <si>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</si>
  <si>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</si>
  <si>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</si>
  <si>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</si>
  <si>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</si>
  <si>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</si>
  <si>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</si>
  <si>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</si>
  <si>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</si>
  <si>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</si>
  <si>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</si>
  <si>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</si>
  <si>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</si>
  <si>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</si>
  <si>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</si>
  <si>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</si>
  <si>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</si>
  <si>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</si>
  <si>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</si>
  <si>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</si>
  <si>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</si>
  <si>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</si>
  <si>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</si>
  <si>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</si>
  <si>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</si>
  <si>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</si>
  <si>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</si>
  <si>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</si>
  <si>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</si>
  <si>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</si>
  <si>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</si>
  <si>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</si>
  <si>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</si>
  <si>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</si>
  <si>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</si>
  <si>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</si>
  <si>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</si>
  <si>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</si>
  <si>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</si>
  <si>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</si>
  <si>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</si>
  <si>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</si>
  <si>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</si>
  <si>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</si>
  <si>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</si>
  <si>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</si>
  <si>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</si>
  <si>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</si>
  <si>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</si>
  <si>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</si>
  <si>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</si>
  <si>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</si>
  <si>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</si>
  <si>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</si>
  <si>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</si>
  <si>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</si>
  <si>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</si>
  <si>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</si>
  <si>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</si>
  <si>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</si>
  <si>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</si>
  <si>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</si>
  <si>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</si>
  <si>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</si>
  <si>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</si>
  <si>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</si>
  <si>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</si>
  <si>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</si>
  <si>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</si>
  <si>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</si>
  <si>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</si>
  <si>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</si>
  <si>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</si>
  <si>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</si>
  <si>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</si>
  <si>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</si>
  <si>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</si>
  <si>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</si>
  <si>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</si>
  <si>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</si>
  <si>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</si>
  <si>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</si>
  <si>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</si>
  <si>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</si>
  <si>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</si>
  <si>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</si>
  <si>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</si>
  <si>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</si>
  <si>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</si>
  <si>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</si>
  <si>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</si>
  <si>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</si>
  <si>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</si>
  <si>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</si>
  <si>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</si>
  <si>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</si>
  <si>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</si>
  <si>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</si>
  <si>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</si>
  <si>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</si>
  <si>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</si>
  <si>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</si>
  <si>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</si>
  <si>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</si>
  <si>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</si>
  <si>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</si>
  <si>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</si>
  <si>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</si>
  <si>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</si>
  <si>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</si>
  <si>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</si>
  <si>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</si>
  <si>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</si>
  <si>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</si>
  <si>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</si>
  <si>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</si>
  <si>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</si>
  <si>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</si>
  <si>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</si>
  <si>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</si>
  <si>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</si>
  <si>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</si>
  <si>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</si>
  <si>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</si>
  <si>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</si>
  <si>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</si>
  <si>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</si>
  <si>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</si>
  <si>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</si>
  <si>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</si>
  <si>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</si>
  <si>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</si>
  <si>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</si>
  <si>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</si>
  <si>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</si>
  <si>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</si>
  <si>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</si>
  <si>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</si>
  <si>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</si>
  <si>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</si>
  <si>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</si>
  <si>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</si>
  <si>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</si>
  <si>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</si>
  <si>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</si>
  <si>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</si>
  <si>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</si>
  <si>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</si>
  <si>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</si>
  <si>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</si>
  <si>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</si>
  <si>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</si>
  <si>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</si>
  <si>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</si>
  <si>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</si>
  <si>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</si>
  <si>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</si>
  <si>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</si>
  <si>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</si>
  <si>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</si>
  <si>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</si>
  <si>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</si>
  <si>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</si>
  <si>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</si>
  <si>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</si>
  <si>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</si>
  <si>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</si>
  <si>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</si>
  <si>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</si>
  <si>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</si>
  <si>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</si>
  <si>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</si>
  <si>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</si>
  <si>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</si>
  <si>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</si>
  <si>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</si>
  <si>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</si>
  <si>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</si>
  <si>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</si>
  <si>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</si>
  <si>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</si>
  <si>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</si>
  <si>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</si>
  <si>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</si>
  <si>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</si>
  <si>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</si>
  <si>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</si>
  <si>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</si>
  <si>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</si>
  <si>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</si>
  <si>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</si>
  <si>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</si>
  <si>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</si>
  <si>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</si>
  <si>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</si>
  <si>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</si>
  <si>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</si>
  <si>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</si>
  <si>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</si>
  <si>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</si>
  <si>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</si>
  <si>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</si>
  <si>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</si>
  <si>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</si>
  <si>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</si>
  <si>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</si>
  <si>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</si>
  <si>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</si>
  <si>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</si>
  <si>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</si>
  <si>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</si>
  <si>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</si>
  <si>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</si>
  <si>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</si>
  <si>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</si>
  <si>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</si>
  <si>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</si>
  <si>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</si>
  <si>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</si>
  <si>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</si>
  <si>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</si>
  <si>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</si>
  <si>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</si>
  <si>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</si>
  <si>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</si>
  <si>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</si>
  <si>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</si>
  <si>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</si>
  <si>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</si>
  <si>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</si>
  <si>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</si>
  <si>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</si>
  <si>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</si>
  <si>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</si>
  <si>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</si>
  <si>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</si>
  <si>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</si>
  <si>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</si>
  <si>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</si>
  <si>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</si>
  <si>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</si>
  <si>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</si>
  <si>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</si>
  <si>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</si>
  <si>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</si>
  <si>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</si>
  <si>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</si>
  <si>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</si>
  <si>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</si>
  <si>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</si>
  <si>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</si>
  <si>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</si>
  <si>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</si>
  <si>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</si>
  <si>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</si>
  <si>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</si>
  <si>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</si>
  <si>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</si>
  <si>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</si>
  <si>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</si>
  <si>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</si>
  <si>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</si>
  <si>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</si>
  <si>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</si>
  <si>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</si>
  <si>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</si>
  <si>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</si>
  <si>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</si>
  <si>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</si>
  <si>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</si>
  <si>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</si>
  <si>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</si>
  <si>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</si>
  <si>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</si>
  <si>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</si>
  <si>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</si>
  <si>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</si>
  <si>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</si>
  <si>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</si>
  <si>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</si>
  <si>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</si>
  <si>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</si>
  <si>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</si>
  <si>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</si>
  <si>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</si>
  <si>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</si>
  <si>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</si>
  <si>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</si>
  <si>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</si>
  <si>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</si>
  <si>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</si>
  <si>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</si>
  <si>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</si>
  <si>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</si>
  <si>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</si>
  <si>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</si>
  <si>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</si>
  <si>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</si>
  <si>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</si>
  <si>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</si>
  <si>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</si>
  <si>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</si>
  <si>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</si>
  <si>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</si>
  <si>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</si>
  <si>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</si>
  <si>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</si>
  <si>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</si>
  <si>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</si>
  <si>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</si>
  <si>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</si>
  <si>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</si>
  <si>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</si>
  <si>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</si>
  <si>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</si>
  <si>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</si>
  <si>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</si>
  <si>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</si>
  <si>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</si>
  <si>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</si>
  <si>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</si>
  <si>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</si>
  <si>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</si>
  <si>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</si>
  <si>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</si>
  <si>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</si>
  <si>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</si>
  <si>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</si>
  <si>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</si>
  <si>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</si>
  <si>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</si>
  <si>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</si>
  <si>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</si>
  <si>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</si>
  <si>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</si>
  <si>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</si>
  <si>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</si>
  <si>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</si>
  <si>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</si>
  <si>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</si>
  <si>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</si>
  <si>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</si>
  <si>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</si>
  <si>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</si>
  <si>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</si>
  <si>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</si>
  <si>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</si>
  <si>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</si>
  <si>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</si>
  <si>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</si>
  <si>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</si>
  <si>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</si>
  <si>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</si>
  <si>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</si>
  <si>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</si>
  <si>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</si>
  <si>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</si>
  <si>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</si>
  <si>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</si>
  <si>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</si>
  <si>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</si>
  <si>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</si>
  <si>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</si>
  <si>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</si>
  <si>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</si>
  <si>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</si>
  <si>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</si>
  <si>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</si>
  <si>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</si>
  <si>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</si>
  <si>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</si>
  <si>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</si>
  <si>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</si>
  <si>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</si>
  <si>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</si>
  <si>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</si>
  <si>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</si>
  <si>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</si>
  <si>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</si>
  <si>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</si>
  <si>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</si>
  <si>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</si>
  <si>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</si>
  <si>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</si>
  <si>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</si>
  <si>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</si>
  <si>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</si>
  <si>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</si>
  <si>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</si>
  <si>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</si>
  <si>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</si>
  <si>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</si>
  <si>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</si>
  <si>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</si>
  <si>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</si>
  <si>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</si>
  <si>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</si>
  <si>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</si>
  <si>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</si>
  <si>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</si>
  <si>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</si>
  <si>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</si>
  <si>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</si>
  <si>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</si>
  <si>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</si>
  <si>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</si>
  <si>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</si>
  <si>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</si>
  <si>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</si>
  <si>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</si>
  <si>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</si>
  <si>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</si>
  <si>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</si>
  <si>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</si>
  <si>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</si>
  <si>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</si>
  <si>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</si>
  <si>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</si>
  <si>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</si>
  <si>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</si>
  <si>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</si>
  <si>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</si>
  <si>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</si>
  <si>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</si>
  <si>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</si>
  <si>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</si>
  <si>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</si>
  <si>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</si>
  <si>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</si>
  <si>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</si>
  <si>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</si>
  <si>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</si>
  <si>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</si>
  <si>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</si>
  <si>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</si>
  <si>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</si>
  <si>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</si>
  <si>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</si>
  <si>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</si>
  <si>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</si>
  <si>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</si>
  <si>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</si>
  <si>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</si>
  <si>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</si>
  <si>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</si>
  <si>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</si>
  <si>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</si>
  <si>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</si>
  <si>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</si>
  <si>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</si>
  <si>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</si>
  <si>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</si>
  <si>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</si>
  <si>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</si>
  <si>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</si>
  <si>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</si>
  <si>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</si>
  <si>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</si>
  <si>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</si>
  <si>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</si>
  <si>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</si>
  <si>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</si>
  <si>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</si>
  <si>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</si>
  <si>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</si>
  <si>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</si>
  <si>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</si>
  <si>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</si>
  <si>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</si>
  <si>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</si>
  <si>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</si>
  <si>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</si>
  <si>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</si>
  <si>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</si>
  <si>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</si>
  <si>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</si>
  <si>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</si>
  <si>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</si>
  <si>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</si>
  <si>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</si>
  <si>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</si>
  <si>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</si>
  <si>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</si>
  <si>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</si>
  <si>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</si>
  <si>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</si>
  <si>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</si>
  <si>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</si>
  <si>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</si>
  <si>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</si>
  <si>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</si>
  <si>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</si>
  <si>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</si>
  <si>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</si>
  <si>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</si>
  <si>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</si>
  <si>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</si>
  <si>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</si>
  <si>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</si>
  <si>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ANOVA</t>
  </si>
  <si>
    <t>SS</t>
  </si>
  <si>
    <t>df</t>
  </si>
  <si>
    <t>MS</t>
  </si>
  <si>
    <t>F</t>
  </si>
  <si>
    <t>P-value</t>
  </si>
  <si>
    <t>Total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</si>
  <si>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</si>
  <si>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</si>
  <si>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</si>
  <si>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</si>
  <si>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</si>
  <si>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</si>
  <si>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</si>
  <si>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</si>
  <si>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</si>
  <si>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</si>
  <si>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</si>
  <si>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</si>
  <si>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</si>
  <si>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</si>
  <si>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</si>
  <si>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95,0%</t>
  </si>
  <si>
    <t>Upper 95,0%</t>
  </si>
  <si>
    <t>X Variable 1</t>
  </si>
  <si>
    <t>X^2</t>
  </si>
  <si>
    <t>X*Y</t>
  </si>
  <si>
    <t>Sum (X*Y)</t>
  </si>
  <si>
    <t>Sum x * Sum y</t>
  </si>
  <si>
    <t>sum (X^2)</t>
  </si>
  <si>
    <t>Mean Y</t>
  </si>
  <si>
    <t>Mean X</t>
  </si>
  <si>
    <t>Sum X</t>
  </si>
  <si>
    <t>B0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</si>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</sst>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0" fillId="0" borderId="8" xfId="0" applyBorder="1"/>
    <xf numFmtId="0" fontId="7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Continuous"/>
    </xf>
    <xf numFmtId="0" fontId="8" fillId="0" borderId="0" xfId="0" applyFont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V140"/>
  <sheetViews>
    <sheetView tabSelected="1" topLeftCell="E1" zoomScale="99" workbookViewId="0">
      <selection activeCell="O15" sqref="O15"/>
    </sheetView>
  </sheetViews>
  <sheetFormatPr defaultRowHeight="13.2" x14ac:dyDescent="0.25"/>
  <cols>
    <col min="1" max="1" width="20.88671875" bestFit="1" customWidth="1"/>
    <col min="2" max="2" width="28.109375" bestFit="1" customWidth="1"/>
    <col min="3" max="3" width="22.88671875" bestFit="1" customWidth="1"/>
    <col min="4" max="4" width="28.77734375" bestFit="1" customWidth="1"/>
    <col min="5" max="5" width="26.77734375" bestFit="1" customWidth="1"/>
    <col min="6" max="6" width="30.5546875" bestFit="1" customWidth="1"/>
    <col min="7" max="7" width="57.88671875" bestFit="1" customWidth="1"/>
    <col min="8" max="8" width="46.6640625" bestFit="1" customWidth="1"/>
    <col min="9" max="9" width="27.33203125" bestFit="1" customWidth="1"/>
    <col min="10" max="10" width="38.88671875" bestFit="1" customWidth="1"/>
    <col min="11" max="11" width="34.77734375" bestFit="1" customWidth="1"/>
    <col min="12" max="12" width="14.6640625" customWidth="1"/>
    <col min="13" max="13" width="25.33203125" bestFit="1" customWidth="1"/>
    <col min="14" max="14" width="12.109375" bestFit="1" customWidth="1"/>
    <col min="15" max="15" width="13.33203125" bestFit="1" customWidth="1"/>
    <col min="16" max="16" width="11.109375" bestFit="1" customWidth="1"/>
  </cols>
  <sheetData>
    <row r="1" spans="1:22" ht="13.2" customHeight="1" x14ac:dyDescent="0.25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  <c r="L1" t="s">
        <v>1730</v>
      </c>
      <c r="M1" t="s">
        <v>1731</v>
      </c>
    </row>
    <row r="2" spans="1:22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  <c r="L2">
        <f>C2^2</f>
        <v>85.747599999999991</v>
      </c>
      <c r="M2">
        <f>C2*B2</f>
        <v>710.14940000000001</v>
      </c>
    </row>
    <row r="3" spans="1:22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  <c r="L3">
        <f t="shared" ref="L3:L66" si="0">C3^2</f>
        <v>142.80249999999998</v>
      </c>
      <c r="M3">
        <f t="shared" ref="M3:M66" si="1">C3*B3</f>
        <v>1046.4614999999999</v>
      </c>
    </row>
    <row r="4" spans="1:22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  <c r="L4">
        <f t="shared" si="0"/>
        <v>143.76009999999999</v>
      </c>
      <c r="M4">
        <f t="shared" si="1"/>
        <v>1016.2724000000001</v>
      </c>
      <c r="U4" s="19"/>
      <c r="V4" s="19"/>
    </row>
    <row r="5" spans="1:22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  <c r="L5">
        <f t="shared" si="0"/>
        <v>134.79209999999998</v>
      </c>
      <c r="M5">
        <f t="shared" si="1"/>
        <v>972.33749999999998</v>
      </c>
    </row>
    <row r="6" spans="1:22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  <c r="L6">
        <f t="shared" si="0"/>
        <v>126.33760000000001</v>
      </c>
      <c r="M6">
        <f t="shared" si="1"/>
        <v>948.65600000000006</v>
      </c>
      <c r="O6" t="s">
        <v>1732</v>
      </c>
      <c r="P6">
        <f>SUM(M2:M120)</f>
        <v>80530.6446</v>
      </c>
      <c r="Q6">
        <f>COUNT(B2:B120)</f>
        <v>119</v>
      </c>
    </row>
    <row r="7" spans="1:22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  <c r="L7">
        <f t="shared" si="0"/>
        <v>117.7225</v>
      </c>
      <c r="M7">
        <f t="shared" si="1"/>
        <v>891.11049999999989</v>
      </c>
      <c r="O7" t="s">
        <v>1733</v>
      </c>
      <c r="P7">
        <f>SUM(C2:C120)*SUM(B2:B120)</f>
        <v>9473943.9794999994</v>
      </c>
      <c r="Q7">
        <f>P9^2</f>
        <v>1104706.1024999989</v>
      </c>
    </row>
    <row r="8" spans="1:22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  <c r="L8">
        <f t="shared" si="0"/>
        <v>79.032100000000014</v>
      </c>
      <c r="M8">
        <f t="shared" si="1"/>
        <v>654.57069999999999</v>
      </c>
      <c r="O8" t="s">
        <v>1734</v>
      </c>
      <c r="P8">
        <f>SUM(L2:L120)</f>
        <v>9602.436700000002</v>
      </c>
    </row>
    <row r="9" spans="1:22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  <c r="L9">
        <f t="shared" si="0"/>
        <v>60.0625</v>
      </c>
      <c r="M9">
        <f t="shared" si="1"/>
        <v>543.8950000000001</v>
      </c>
      <c r="O9" t="s">
        <v>1737</v>
      </c>
      <c r="P9">
        <f>SUM(C2:C120)</f>
        <v>1051.0499999999995</v>
      </c>
    </row>
    <row r="10" spans="1:22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  <c r="L10">
        <f t="shared" si="0"/>
        <v>62.568100000000001</v>
      </c>
      <c r="M10">
        <f t="shared" si="1"/>
        <v>544.91989999999998</v>
      </c>
      <c r="O10" t="s">
        <v>1736</v>
      </c>
      <c r="P10">
        <f>AVERAGE(C2:C120)</f>
        <v>8.8323529411764667</v>
      </c>
    </row>
    <row r="11" spans="1:22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  <c r="L11">
        <f t="shared" si="0"/>
        <v>89.302499999999981</v>
      </c>
      <c r="M11">
        <f t="shared" si="1"/>
        <v>704.87549999999999</v>
      </c>
      <c r="O11" t="s">
        <v>1735</v>
      </c>
      <c r="P11">
        <f>AVERAGE(B2:B120)</f>
        <v>75.746134453781551</v>
      </c>
    </row>
    <row r="12" spans="1:22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  <c r="L12">
        <f t="shared" si="0"/>
        <v>69.056100000000015</v>
      </c>
      <c r="M12">
        <f t="shared" si="1"/>
        <v>580.95209999999997</v>
      </c>
    </row>
    <row r="13" spans="1:22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  <c r="L13">
        <f t="shared" si="0"/>
        <v>69.222400000000007</v>
      </c>
      <c r="M13">
        <f t="shared" si="1"/>
        <v>582.23360000000002</v>
      </c>
      <c r="O13" t="s">
        <v>1739</v>
      </c>
      <c r="P13">
        <f>(P6-P7/Q6)/(P8-(Q7/Q6))</f>
        <v>2.874976742756234</v>
      </c>
    </row>
    <row r="14" spans="1:22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  <c r="L14">
        <f t="shared" si="0"/>
        <v>69.388900000000007</v>
      </c>
      <c r="M14">
        <f t="shared" si="1"/>
        <v>613.4212</v>
      </c>
      <c r="O14" t="s">
        <v>1738</v>
      </c>
      <c r="P14">
        <f>P11-P10*P13</f>
        <v>50.353325164084588</v>
      </c>
    </row>
    <row r="15" spans="1:22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  <c r="L15">
        <f t="shared" si="0"/>
        <v>66.912399999999991</v>
      </c>
      <c r="M15">
        <f t="shared" si="1"/>
        <v>585.36080000000004</v>
      </c>
    </row>
    <row r="16" spans="1:22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  <c r="L16">
        <f t="shared" si="0"/>
        <v>64.963600000000014</v>
      </c>
      <c r="M16">
        <f t="shared" si="1"/>
        <v>582.73800000000006</v>
      </c>
    </row>
    <row r="17" spans="1:13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  <c r="L17">
        <f t="shared" si="0"/>
        <v>63.840100000000007</v>
      </c>
      <c r="M17">
        <f t="shared" si="1"/>
        <v>570.24630000000002</v>
      </c>
    </row>
    <row r="18" spans="1:13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  <c r="L18">
        <f t="shared" si="0"/>
        <v>78.499599999999987</v>
      </c>
      <c r="M18">
        <f t="shared" si="1"/>
        <v>660.69019999999989</v>
      </c>
    </row>
    <row r="19" spans="1:13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  <c r="L19">
        <f t="shared" si="0"/>
        <v>55.502500000000005</v>
      </c>
      <c r="M19">
        <f t="shared" si="1"/>
        <v>526.86400000000003</v>
      </c>
    </row>
    <row r="20" spans="1:13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  <c r="L20">
        <f t="shared" si="0"/>
        <v>62.0944</v>
      </c>
      <c r="M20">
        <f t="shared" si="1"/>
        <v>567.75400000000002</v>
      </c>
    </row>
    <row r="21" spans="1:13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  <c r="L21">
        <f t="shared" si="0"/>
        <v>70.56</v>
      </c>
      <c r="M21">
        <f t="shared" si="1"/>
        <v>621.51599999999996</v>
      </c>
    </row>
    <row r="22" spans="1:13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  <c r="L22">
        <f t="shared" si="0"/>
        <v>72.931599999999989</v>
      </c>
      <c r="M22">
        <f t="shared" si="1"/>
        <v>630.42279999999982</v>
      </c>
    </row>
    <row r="23" spans="1:13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  <c r="L23">
        <f t="shared" si="0"/>
        <v>103.83609999999999</v>
      </c>
      <c r="M23">
        <f t="shared" si="1"/>
        <v>782.59199999999998</v>
      </c>
    </row>
    <row r="24" spans="1:13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  <c r="L24">
        <f t="shared" si="0"/>
        <v>73.444900000000004</v>
      </c>
      <c r="M24">
        <f t="shared" si="1"/>
        <v>606.49889999999994</v>
      </c>
    </row>
    <row r="25" spans="1:13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  <c r="L25">
        <f t="shared" si="0"/>
        <v>71.740900000000011</v>
      </c>
      <c r="M25">
        <f t="shared" si="1"/>
        <v>601.6241</v>
      </c>
    </row>
    <row r="26" spans="1:13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  <c r="L26">
        <f t="shared" si="0"/>
        <v>116.42409999999998</v>
      </c>
      <c r="M26">
        <f t="shared" si="1"/>
        <v>852.7337</v>
      </c>
    </row>
    <row r="27" spans="1:13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  <c r="L27">
        <f t="shared" si="0"/>
        <v>108.99359999999999</v>
      </c>
      <c r="M27">
        <f t="shared" si="1"/>
        <v>811.08359999999993</v>
      </c>
    </row>
    <row r="28" spans="1:13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  <c r="L28">
        <f t="shared" si="0"/>
        <v>122.10250000000002</v>
      </c>
      <c r="M28">
        <f t="shared" si="1"/>
        <v>925.43750000000011</v>
      </c>
    </row>
    <row r="29" spans="1:13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  <c r="L29">
        <f t="shared" si="0"/>
        <v>113.6356</v>
      </c>
      <c r="M29">
        <f t="shared" si="1"/>
        <v>832.43940000000009</v>
      </c>
    </row>
    <row r="30" spans="1:13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  <c r="L30">
        <f t="shared" si="0"/>
        <v>141.61000000000001</v>
      </c>
      <c r="M30">
        <f t="shared" si="1"/>
        <v>994.245</v>
      </c>
    </row>
    <row r="31" spans="1:13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  <c r="L31">
        <f t="shared" si="0"/>
        <v>134.09639999999999</v>
      </c>
      <c r="M31">
        <f t="shared" si="1"/>
        <v>961.71899999999994</v>
      </c>
    </row>
    <row r="32" spans="1:13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  <c r="L32">
        <f t="shared" si="0"/>
        <v>131.5609</v>
      </c>
      <c r="M32">
        <f t="shared" si="1"/>
        <v>921.04100000000005</v>
      </c>
    </row>
    <row r="33" spans="1:13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  <c r="L33">
        <f t="shared" si="0"/>
        <v>97.219599999999986</v>
      </c>
      <c r="M33">
        <f t="shared" si="1"/>
        <v>749.6558</v>
      </c>
    </row>
    <row r="34" spans="1:13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  <c r="L34">
        <f t="shared" si="0"/>
        <v>83.722500000000011</v>
      </c>
      <c r="M34">
        <f t="shared" si="1"/>
        <v>686.34150000000011</v>
      </c>
    </row>
    <row r="35" spans="1:13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  <c r="L35">
        <f t="shared" si="0"/>
        <v>54.760000000000005</v>
      </c>
      <c r="M35">
        <f t="shared" si="1"/>
        <v>536.87</v>
      </c>
    </row>
    <row r="36" spans="1:13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  <c r="L36">
        <f t="shared" si="0"/>
        <v>62.568100000000001</v>
      </c>
      <c r="M36">
        <f t="shared" si="1"/>
        <v>589.45319999999992</v>
      </c>
    </row>
    <row r="37" spans="1:13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  <c r="L37">
        <f t="shared" si="0"/>
        <v>54.169600000000003</v>
      </c>
      <c r="M37">
        <f t="shared" si="1"/>
        <v>522.33920000000001</v>
      </c>
    </row>
    <row r="38" spans="1:13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  <c r="L38">
        <f t="shared" si="0"/>
        <v>47.196899999999999</v>
      </c>
      <c r="M38">
        <f t="shared" si="1"/>
        <v>478.28940000000006</v>
      </c>
    </row>
    <row r="39" spans="1:13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  <c r="L39">
        <f t="shared" si="0"/>
        <v>61.936900000000001</v>
      </c>
      <c r="M39">
        <f t="shared" si="1"/>
        <v>570.41759999999999</v>
      </c>
    </row>
    <row r="40" spans="1:13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  <c r="L40">
        <f t="shared" si="0"/>
        <v>74.822500000000005</v>
      </c>
      <c r="M40">
        <f t="shared" si="1"/>
        <v>650.13400000000001</v>
      </c>
    </row>
    <row r="41" spans="1:13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  <c r="L41">
        <f t="shared" si="0"/>
        <v>47.610000000000007</v>
      </c>
      <c r="M41">
        <f t="shared" si="1"/>
        <v>487.34699999999998</v>
      </c>
    </row>
    <row r="42" spans="1:13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  <c r="L42">
        <f t="shared" si="0"/>
        <v>61.308900000000001</v>
      </c>
      <c r="M42">
        <f t="shared" si="1"/>
        <v>564.54300000000001</v>
      </c>
    </row>
    <row r="43" spans="1:13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  <c r="L43">
        <f t="shared" si="0"/>
        <v>66.748899999999992</v>
      </c>
      <c r="M43">
        <f t="shared" si="1"/>
        <v>620.59319999999991</v>
      </c>
    </row>
    <row r="44" spans="1:13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  <c r="L44">
        <f t="shared" si="0"/>
        <v>86.304099999999991</v>
      </c>
      <c r="M44">
        <f t="shared" si="1"/>
        <v>726.10639999999989</v>
      </c>
    </row>
    <row r="45" spans="1:13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  <c r="L45">
        <f t="shared" si="0"/>
        <v>100.20009999999999</v>
      </c>
      <c r="M45">
        <f t="shared" si="1"/>
        <v>793.79300000000001</v>
      </c>
    </row>
    <row r="46" spans="1:13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  <c r="L46">
        <f t="shared" si="0"/>
        <v>58.982399999999998</v>
      </c>
      <c r="M46">
        <f t="shared" si="1"/>
        <v>557.10720000000003</v>
      </c>
    </row>
    <row r="47" spans="1:13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  <c r="L47">
        <f t="shared" si="0"/>
        <v>85.747599999999991</v>
      </c>
      <c r="M47">
        <f t="shared" si="1"/>
        <v>723.29859999999996</v>
      </c>
    </row>
    <row r="48" spans="1:13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  <c r="L48">
        <f t="shared" si="0"/>
        <v>62.0944</v>
      </c>
      <c r="M48">
        <f t="shared" si="1"/>
        <v>595.17639999999994</v>
      </c>
    </row>
    <row r="49" spans="1:13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  <c r="L49">
        <f t="shared" si="0"/>
        <v>53.144100000000002</v>
      </c>
      <c r="M49">
        <f t="shared" si="1"/>
        <v>525.0258</v>
      </c>
    </row>
    <row r="50" spans="1:13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  <c r="L50">
        <f t="shared" si="0"/>
        <v>52.707599999999999</v>
      </c>
      <c r="M50">
        <f t="shared" si="1"/>
        <v>518.50919999999996</v>
      </c>
    </row>
    <row r="51" spans="1:13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  <c r="L51">
        <f t="shared" si="0"/>
        <v>59.752900000000004</v>
      </c>
      <c r="M51">
        <f t="shared" si="1"/>
        <v>560.65690000000006</v>
      </c>
    </row>
    <row r="52" spans="1:13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  <c r="L52">
        <f t="shared" si="0"/>
        <v>61.152400000000007</v>
      </c>
      <c r="M52">
        <f t="shared" si="1"/>
        <v>579.46199999999999</v>
      </c>
    </row>
    <row r="53" spans="1:13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  <c r="L53">
        <f t="shared" si="0"/>
        <v>87.422499999999999</v>
      </c>
      <c r="M53">
        <f t="shared" si="1"/>
        <v>721.91349999999989</v>
      </c>
    </row>
    <row r="54" spans="1:13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  <c r="L54">
        <f t="shared" si="0"/>
        <v>68.392899999999997</v>
      </c>
      <c r="M54">
        <f t="shared" si="1"/>
        <v>614.62639999999988</v>
      </c>
    </row>
    <row r="55" spans="1:13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  <c r="L55">
        <f t="shared" si="0"/>
        <v>68.558399999999992</v>
      </c>
      <c r="M55">
        <f t="shared" si="1"/>
        <v>617.43959999999993</v>
      </c>
    </row>
    <row r="56" spans="1:13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  <c r="L56">
        <f t="shared" si="0"/>
        <v>66.585599999999999</v>
      </c>
      <c r="M56">
        <f t="shared" si="1"/>
        <v>617.46720000000005</v>
      </c>
    </row>
    <row r="57" spans="1:13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  <c r="L57">
        <f t="shared" si="0"/>
        <v>56.700900000000004</v>
      </c>
      <c r="M57">
        <f t="shared" si="1"/>
        <v>541.10580000000004</v>
      </c>
    </row>
    <row r="58" spans="1:13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  <c r="L58">
        <f t="shared" si="0"/>
        <v>59.907600000000002</v>
      </c>
      <c r="M58">
        <f t="shared" si="1"/>
        <v>575.39160000000004</v>
      </c>
    </row>
    <row r="59" spans="1:13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  <c r="L59">
        <f t="shared" si="0"/>
        <v>50.126400000000004</v>
      </c>
      <c r="M59">
        <f t="shared" si="1"/>
        <v>500.76840000000004</v>
      </c>
    </row>
    <row r="60" spans="1:13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  <c r="L60">
        <f t="shared" si="0"/>
        <v>55.950400000000009</v>
      </c>
      <c r="M60">
        <f t="shared" si="1"/>
        <v>538.18600000000004</v>
      </c>
    </row>
    <row r="61" spans="1:13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  <c r="L61">
        <f t="shared" si="0"/>
        <v>43.033599999999993</v>
      </c>
      <c r="M61">
        <f t="shared" si="1"/>
        <v>450.34399999999999</v>
      </c>
    </row>
    <row r="62" spans="1:13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  <c r="L62">
        <f t="shared" si="0"/>
        <v>54.169600000000003</v>
      </c>
      <c r="M62">
        <f t="shared" si="1"/>
        <v>527.71199999999999</v>
      </c>
    </row>
    <row r="63" spans="1:13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  <c r="L63">
        <f t="shared" si="0"/>
        <v>41.088100000000004</v>
      </c>
      <c r="M63">
        <f t="shared" si="1"/>
        <v>449.85380000000004</v>
      </c>
    </row>
    <row r="64" spans="1:13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  <c r="L64">
        <f t="shared" si="0"/>
        <v>130.64490000000001</v>
      </c>
      <c r="M64">
        <f t="shared" si="1"/>
        <v>938.97450000000003</v>
      </c>
    </row>
    <row r="65" spans="1:13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  <c r="L65">
        <f t="shared" si="0"/>
        <v>126.5625</v>
      </c>
      <c r="M65">
        <f t="shared" si="1"/>
        <v>949.61249999999995</v>
      </c>
    </row>
    <row r="66" spans="1:13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  <c r="L66">
        <f t="shared" si="0"/>
        <v>131.79040000000001</v>
      </c>
      <c r="M66">
        <f t="shared" si="1"/>
        <v>984.06560000000002</v>
      </c>
    </row>
    <row r="67" spans="1:13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  <c r="L67">
        <f t="shared" ref="L67:L120" si="2">C67^2</f>
        <v>122.10250000000002</v>
      </c>
      <c r="M67">
        <f t="shared" ref="M67:M120" si="3">C67*B67</f>
        <v>941.90200000000004</v>
      </c>
    </row>
    <row r="68" spans="1:13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  <c r="L68">
        <f t="shared" si="2"/>
        <v>87.235599999999991</v>
      </c>
      <c r="M68">
        <f t="shared" si="3"/>
        <v>721.14139999999998</v>
      </c>
    </row>
    <row r="69" spans="1:13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  <c r="L69">
        <f t="shared" si="2"/>
        <v>86.118399999999994</v>
      </c>
      <c r="M69">
        <f t="shared" si="3"/>
        <v>719.19999999999993</v>
      </c>
    </row>
    <row r="70" spans="1:13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  <c r="L70">
        <f t="shared" si="2"/>
        <v>84.639999999999986</v>
      </c>
      <c r="M70">
        <f t="shared" si="3"/>
        <v>700.85599999999999</v>
      </c>
    </row>
    <row r="71" spans="1:13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  <c r="L71">
        <f t="shared" si="2"/>
        <v>96.236100000000008</v>
      </c>
      <c r="M71">
        <f t="shared" si="3"/>
        <v>804.91049999999996</v>
      </c>
    </row>
    <row r="72" spans="1:13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  <c r="L72">
        <f t="shared" si="2"/>
        <v>54.022499999999994</v>
      </c>
      <c r="M72">
        <f t="shared" si="3"/>
        <v>530.22899999999993</v>
      </c>
    </row>
    <row r="73" spans="1:13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  <c r="L73">
        <f t="shared" si="2"/>
        <v>128.3689</v>
      </c>
      <c r="M73">
        <f t="shared" si="3"/>
        <v>971.09429999999998</v>
      </c>
    </row>
    <row r="74" spans="1:13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  <c r="L74">
        <f t="shared" si="2"/>
        <v>146.89439999999999</v>
      </c>
      <c r="M74">
        <f t="shared" si="3"/>
        <v>1079.8919999999998</v>
      </c>
    </row>
    <row r="75" spans="1:13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  <c r="L75">
        <f t="shared" si="2"/>
        <v>62.410000000000004</v>
      </c>
      <c r="M75">
        <f t="shared" si="3"/>
        <v>564.77099999999996</v>
      </c>
    </row>
    <row r="76" spans="1:13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  <c r="L76">
        <f t="shared" si="2"/>
        <v>60.839999999999996</v>
      </c>
      <c r="M76">
        <f t="shared" si="3"/>
        <v>574.86</v>
      </c>
    </row>
    <row r="77" spans="1:13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  <c r="L77">
        <f t="shared" si="2"/>
        <v>62.726399999999998</v>
      </c>
      <c r="M77">
        <f t="shared" si="3"/>
        <v>573.9624</v>
      </c>
    </row>
    <row r="78" spans="1:13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  <c r="L78">
        <f t="shared" si="2"/>
        <v>75.342399999999998</v>
      </c>
      <c r="M78">
        <f t="shared" si="3"/>
        <v>652.12839999999994</v>
      </c>
    </row>
    <row r="79" spans="1:13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  <c r="L79">
        <f t="shared" si="2"/>
        <v>61.936900000000001</v>
      </c>
      <c r="M79">
        <f t="shared" si="3"/>
        <v>577.97280000000001</v>
      </c>
    </row>
    <row r="80" spans="1:13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  <c r="L80">
        <f t="shared" si="2"/>
        <v>68.227599999999995</v>
      </c>
      <c r="M80">
        <f t="shared" si="3"/>
        <v>620.98680000000002</v>
      </c>
    </row>
    <row r="81" spans="1:13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  <c r="L81">
        <f t="shared" si="2"/>
        <v>60.839999999999996</v>
      </c>
      <c r="M81">
        <f t="shared" si="3"/>
        <v>573.53399999999999</v>
      </c>
    </row>
    <row r="82" spans="1:13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  <c r="L82">
        <f t="shared" si="2"/>
        <v>52.852899999999991</v>
      </c>
      <c r="M82">
        <f t="shared" si="3"/>
        <v>511.15370000000001</v>
      </c>
    </row>
    <row r="83" spans="1:13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  <c r="L83">
        <f t="shared" si="2"/>
        <v>42.771599999999999</v>
      </c>
      <c r="M83">
        <f t="shared" si="3"/>
        <v>463.88220000000007</v>
      </c>
    </row>
    <row r="84" spans="1:13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  <c r="L84">
        <f t="shared" si="2"/>
        <v>60.528400000000005</v>
      </c>
      <c r="M84">
        <f t="shared" si="3"/>
        <v>578.05399999999997</v>
      </c>
    </row>
    <row r="85" spans="1:13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  <c r="L85">
        <f t="shared" si="2"/>
        <v>42.640900000000002</v>
      </c>
      <c r="M85">
        <f t="shared" si="3"/>
        <v>465.06659999999999</v>
      </c>
    </row>
    <row r="86" spans="1:13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  <c r="L86">
        <f t="shared" si="2"/>
        <v>48.024899999999995</v>
      </c>
      <c r="M86">
        <f t="shared" si="3"/>
        <v>493.55459999999999</v>
      </c>
    </row>
    <row r="87" spans="1:13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  <c r="L87">
        <f t="shared" si="2"/>
        <v>39.816099999999992</v>
      </c>
      <c r="M87">
        <f t="shared" si="3"/>
        <v>447.06349999999992</v>
      </c>
    </row>
    <row r="88" spans="1:13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  <c r="L88">
        <f t="shared" si="2"/>
        <v>55.651600000000002</v>
      </c>
      <c r="M88">
        <f t="shared" si="3"/>
        <v>539.80560000000003</v>
      </c>
    </row>
    <row r="89" spans="1:13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  <c r="L89">
        <f t="shared" si="2"/>
        <v>119.02810000000001</v>
      </c>
      <c r="M89">
        <f t="shared" si="3"/>
        <v>901.92970000000003</v>
      </c>
    </row>
    <row r="90" spans="1:13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  <c r="L90">
        <f t="shared" si="2"/>
        <v>83.35690000000001</v>
      </c>
      <c r="M90">
        <f t="shared" si="3"/>
        <v>700.17970000000003</v>
      </c>
    </row>
    <row r="91" spans="1:13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  <c r="L91">
        <f t="shared" si="2"/>
        <v>77.088399999999993</v>
      </c>
      <c r="M91">
        <f t="shared" si="3"/>
        <v>664.38259999999991</v>
      </c>
    </row>
    <row r="92" spans="1:13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  <c r="L92">
        <f t="shared" si="2"/>
        <v>68.0625</v>
      </c>
      <c r="M92">
        <f t="shared" si="3"/>
        <v>620.7299999999999</v>
      </c>
    </row>
    <row r="93" spans="1:13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  <c r="L93">
        <f t="shared" si="2"/>
        <v>67.239999999999995</v>
      </c>
      <c r="M93">
        <f t="shared" si="3"/>
        <v>613.44200000000001</v>
      </c>
    </row>
    <row r="94" spans="1:13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  <c r="L94">
        <f t="shared" si="2"/>
        <v>75.516099999999994</v>
      </c>
      <c r="M94">
        <f t="shared" si="3"/>
        <v>667.1312999999999</v>
      </c>
    </row>
    <row r="95" spans="1:13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  <c r="L95">
        <f t="shared" si="2"/>
        <v>61.465599999999995</v>
      </c>
      <c r="M95">
        <f t="shared" si="3"/>
        <v>579.45439999999996</v>
      </c>
    </row>
    <row r="96" spans="1:13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  <c r="L96">
        <f t="shared" si="2"/>
        <v>57.6081</v>
      </c>
      <c r="M96">
        <f t="shared" si="3"/>
        <v>552.17250000000001</v>
      </c>
    </row>
    <row r="97" spans="1:13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  <c r="L97">
        <f t="shared" si="2"/>
        <v>56.700900000000004</v>
      </c>
      <c r="M97">
        <f t="shared" si="3"/>
        <v>544.49430000000007</v>
      </c>
    </row>
    <row r="98" spans="1:13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  <c r="L98">
        <f t="shared" si="2"/>
        <v>71.91040000000001</v>
      </c>
      <c r="M98">
        <f t="shared" si="3"/>
        <v>643.63200000000006</v>
      </c>
    </row>
    <row r="99" spans="1:13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  <c r="L99">
        <f t="shared" si="2"/>
        <v>100.60089999999998</v>
      </c>
      <c r="M99">
        <f t="shared" si="3"/>
        <v>791.66790000000003</v>
      </c>
    </row>
    <row r="100" spans="1:13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  <c r="L100">
        <f t="shared" si="2"/>
        <v>36.120100000000001</v>
      </c>
      <c r="M100">
        <f t="shared" si="3"/>
        <v>404.6533</v>
      </c>
    </row>
    <row r="101" spans="1:13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  <c r="L101">
        <f t="shared" si="2"/>
        <v>25.8064</v>
      </c>
      <c r="M101">
        <f t="shared" si="3"/>
        <v>338.93759999999997</v>
      </c>
    </row>
    <row r="102" spans="1:13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  <c r="L102">
        <f t="shared" si="2"/>
        <v>51.408899999999996</v>
      </c>
      <c r="M102">
        <f t="shared" si="3"/>
        <v>507.99449999999996</v>
      </c>
    </row>
    <row r="103" spans="1:13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  <c r="L103">
        <f t="shared" si="2"/>
        <v>37.209999999999994</v>
      </c>
      <c r="M103">
        <f t="shared" si="3"/>
        <v>425.65799999999996</v>
      </c>
    </row>
    <row r="104" spans="1:13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  <c r="L104">
        <f t="shared" si="2"/>
        <v>119.24639999999999</v>
      </c>
      <c r="M104">
        <f t="shared" si="3"/>
        <v>894.12959999999998</v>
      </c>
    </row>
    <row r="105" spans="1:13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  <c r="L105">
        <f t="shared" si="2"/>
        <v>117.0724</v>
      </c>
      <c r="M105">
        <f t="shared" si="3"/>
        <v>881.18079999999998</v>
      </c>
    </row>
    <row r="106" spans="1:13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  <c r="L106">
        <f t="shared" si="2"/>
        <v>124.09960000000001</v>
      </c>
      <c r="M106">
        <f t="shared" si="3"/>
        <v>943.3352000000001</v>
      </c>
    </row>
    <row r="107" spans="1:13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  <c r="L107">
        <f t="shared" si="2"/>
        <v>94.478400000000008</v>
      </c>
      <c r="M107">
        <f t="shared" si="3"/>
        <v>756.11880000000008</v>
      </c>
    </row>
    <row r="108" spans="1:13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  <c r="L108">
        <f t="shared" si="2"/>
        <v>98.803599999999989</v>
      </c>
      <c r="M108">
        <f t="shared" si="3"/>
        <v>784.26599999999996</v>
      </c>
    </row>
    <row r="109" spans="1:13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  <c r="L109">
        <f t="shared" si="2"/>
        <v>129.5044</v>
      </c>
      <c r="M109">
        <f t="shared" si="3"/>
        <v>930.42880000000014</v>
      </c>
    </row>
    <row r="110" spans="1:13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  <c r="L110">
        <f t="shared" si="2"/>
        <v>146.65209999999999</v>
      </c>
      <c r="M110">
        <f t="shared" si="3"/>
        <v>1023.4161</v>
      </c>
    </row>
    <row r="111" spans="1:13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  <c r="L111">
        <f t="shared" si="2"/>
        <v>118.59210000000002</v>
      </c>
      <c r="M111">
        <f t="shared" si="3"/>
        <v>922.27409999999998</v>
      </c>
    </row>
    <row r="112" spans="1:13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  <c r="L112">
        <f t="shared" si="2"/>
        <v>97.416899999999984</v>
      </c>
      <c r="M112">
        <f t="shared" si="3"/>
        <v>786.54029999999989</v>
      </c>
    </row>
    <row r="113" spans="1:13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  <c r="L113">
        <f t="shared" si="2"/>
        <v>51.265599999999999</v>
      </c>
      <c r="M113">
        <f t="shared" si="3"/>
        <v>507.50079999999997</v>
      </c>
    </row>
    <row r="114" spans="1:13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  <c r="L114">
        <f t="shared" si="2"/>
        <v>43.692100000000003</v>
      </c>
      <c r="M114">
        <f t="shared" si="3"/>
        <v>451.66129999999998</v>
      </c>
    </row>
    <row r="115" spans="1:13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  <c r="L115">
        <f t="shared" si="2"/>
        <v>82.083600000000004</v>
      </c>
      <c r="M115">
        <f t="shared" si="3"/>
        <v>690.28139999999996</v>
      </c>
    </row>
    <row r="116" spans="1:13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  <c r="L116">
        <f t="shared" si="2"/>
        <v>62.0944</v>
      </c>
      <c r="M116">
        <f t="shared" si="3"/>
        <v>577.44640000000004</v>
      </c>
    </row>
    <row r="117" spans="1:13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  <c r="L117">
        <f t="shared" si="2"/>
        <v>124.09960000000001</v>
      </c>
      <c r="M117">
        <f t="shared" si="3"/>
        <v>908.24420000000009</v>
      </c>
    </row>
    <row r="118" spans="1:13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  <c r="L118">
        <f t="shared" si="2"/>
        <v>107.95210000000002</v>
      </c>
      <c r="M118">
        <f t="shared" si="3"/>
        <v>819.04370000000006</v>
      </c>
    </row>
    <row r="119" spans="1:13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  <c r="L119">
        <f t="shared" si="2"/>
        <v>79.744900000000001</v>
      </c>
      <c r="M119">
        <f t="shared" si="3"/>
        <v>686.71699999999998</v>
      </c>
    </row>
    <row r="120" spans="1:13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  <c r="L120">
        <f t="shared" si="2"/>
        <v>140.65959999999998</v>
      </c>
      <c r="M120">
        <f t="shared" si="3"/>
        <v>998.13759999999991</v>
      </c>
    </row>
    <row r="123" spans="1:13" x14ac:dyDescent="0.25">
      <c r="A123" t="s">
        <v>1712</v>
      </c>
    </row>
    <row r="124" spans="1:13" ht="13.8" thickBot="1" x14ac:dyDescent="0.3"/>
    <row r="125" spans="1:13" x14ac:dyDescent="0.25">
      <c r="A125" s="18" t="s">
        <v>1713</v>
      </c>
      <c r="B125" s="18"/>
    </row>
    <row r="126" spans="1:13" x14ac:dyDescent="0.25">
      <c r="A126" t="s">
        <v>1714</v>
      </c>
      <c r="B126">
        <v>0.9425620088621538</v>
      </c>
    </row>
    <row r="127" spans="1:13" x14ac:dyDescent="0.25">
      <c r="A127" t="s">
        <v>1715</v>
      </c>
      <c r="B127">
        <v>0.88842314055025895</v>
      </c>
    </row>
    <row r="128" spans="1:13" x14ac:dyDescent="0.25">
      <c r="A128" t="s">
        <v>1716</v>
      </c>
      <c r="B128">
        <v>0.88746949217889359</v>
      </c>
    </row>
    <row r="129" spans="1:9" x14ac:dyDescent="0.25">
      <c r="A129" t="s">
        <v>1717</v>
      </c>
      <c r="B129">
        <v>1.6828470103751438</v>
      </c>
    </row>
    <row r="130" spans="1:9" ht="13.8" thickBot="1" x14ac:dyDescent="0.3">
      <c r="A130" s="16" t="s">
        <v>1718</v>
      </c>
      <c r="B130" s="16">
        <v>119</v>
      </c>
    </row>
    <row r="132" spans="1:9" ht="13.8" thickBot="1" x14ac:dyDescent="0.3">
      <c r="A132" t="s">
        <v>1705</v>
      </c>
    </row>
    <row r="133" spans="1:9" x14ac:dyDescent="0.25">
      <c r="A133" s="17"/>
      <c r="B133" s="17" t="s">
        <v>1707</v>
      </c>
      <c r="C133" s="17" t="s">
        <v>1706</v>
      </c>
      <c r="D133" s="17" t="s">
        <v>1708</v>
      </c>
      <c r="E133" s="17" t="s">
        <v>1709</v>
      </c>
      <c r="F133" s="17" t="s">
        <v>1722</v>
      </c>
    </row>
    <row r="134" spans="1:9" x14ac:dyDescent="0.25">
      <c r="A134" t="s">
        <v>1719</v>
      </c>
      <c r="B134">
        <v>1</v>
      </c>
      <c r="C134">
        <v>2638.2798567902978</v>
      </c>
      <c r="D134">
        <v>2638.2798567902978</v>
      </c>
      <c r="E134">
        <v>931.60452765030288</v>
      </c>
      <c r="F134">
        <v>1.4970587958122169E-57</v>
      </c>
    </row>
    <row r="135" spans="1:9" x14ac:dyDescent="0.25">
      <c r="A135" t="s">
        <v>1720</v>
      </c>
      <c r="B135">
        <v>117</v>
      </c>
      <c r="C135">
        <v>331.34096505844144</v>
      </c>
      <c r="D135">
        <v>2.8319740603285593</v>
      </c>
    </row>
    <row r="136" spans="1:9" ht="13.8" thickBot="1" x14ac:dyDescent="0.3">
      <c r="A136" s="16" t="s">
        <v>1711</v>
      </c>
      <c r="B136" s="16">
        <v>118</v>
      </c>
      <c r="C136" s="16">
        <v>2969.6208218487391</v>
      </c>
      <c r="D136" s="16"/>
      <c r="E136" s="16"/>
      <c r="F136" s="16"/>
    </row>
    <row r="137" spans="1:9" ht="13.8" thickBot="1" x14ac:dyDescent="0.3"/>
    <row r="138" spans="1:9" x14ac:dyDescent="0.25">
      <c r="A138" s="17"/>
      <c r="B138" s="17" t="s">
        <v>1723</v>
      </c>
      <c r="C138" s="17" t="s">
        <v>1717</v>
      </c>
      <c r="D138" s="17" t="s">
        <v>1724</v>
      </c>
      <c r="E138" s="17" t="s">
        <v>1710</v>
      </c>
      <c r="F138" s="17" t="s">
        <v>1725</v>
      </c>
      <c r="G138" s="17" t="s">
        <v>1726</v>
      </c>
      <c r="H138" s="17" t="s">
        <v>1727</v>
      </c>
      <c r="I138" s="17" t="s">
        <v>1728</v>
      </c>
    </row>
    <row r="139" spans="1:9" x14ac:dyDescent="0.25">
      <c r="A139" t="s">
        <v>1721</v>
      </c>
      <c r="B139">
        <v>50.353325164083934</v>
      </c>
      <c r="C139">
        <v>0.84612745324278249</v>
      </c>
      <c r="D139">
        <v>59.51033141768994</v>
      </c>
      <c r="E139">
        <v>2.5682813965287304E-89</v>
      </c>
      <c r="F139">
        <v>48.677614081129164</v>
      </c>
      <c r="G139">
        <v>52.029036247038704</v>
      </c>
      <c r="H139">
        <v>48.677614081129164</v>
      </c>
      <c r="I139">
        <v>52.029036247038704</v>
      </c>
    </row>
    <row r="140" spans="1:9" ht="13.8" thickBot="1" x14ac:dyDescent="0.3">
      <c r="A140" s="16" t="s">
        <v>1729</v>
      </c>
      <c r="B140" s="16">
        <v>2.8749767427563082</v>
      </c>
      <c r="C140" s="16">
        <v>9.4192980769669421E-2</v>
      </c>
      <c r="D140" s="16">
        <v>30.522197293941716</v>
      </c>
      <c r="E140" s="16">
        <v>1.4970587958122169E-57</v>
      </c>
      <c r="F140" s="16">
        <v>2.6884324801781845</v>
      </c>
      <c r="G140" s="16">
        <v>3.0615210053344319</v>
      </c>
      <c r="H140" s="16">
        <v>2.6884324801781845</v>
      </c>
      <c r="I140" s="16">
        <v>3.0615210053344319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5546875" defaultRowHeight="15.75" customHeight="1" x14ac:dyDescent="0.25"/>
  <sheetData>
    <row r="1" spans="1:60" ht="42.45" customHeight="1" x14ac:dyDescent="0.25">
      <c r="A1" s="23" t="s">
        <v>0</v>
      </c>
      <c r="B1" s="25" t="s">
        <v>1</v>
      </c>
      <c r="C1" s="20" t="s">
        <v>2</v>
      </c>
      <c r="D1" s="21"/>
      <c r="E1" s="21"/>
      <c r="F1" s="21"/>
      <c r="G1" s="22"/>
      <c r="H1" s="26" t="s">
        <v>3</v>
      </c>
      <c r="I1" s="21"/>
      <c r="J1" s="21"/>
      <c r="K1" s="21"/>
      <c r="L1" s="22"/>
      <c r="M1" s="20" t="s">
        <v>4</v>
      </c>
      <c r="N1" s="21"/>
      <c r="O1" s="21"/>
      <c r="P1" s="21"/>
      <c r="Q1" s="22"/>
      <c r="R1" s="27" t="s">
        <v>5</v>
      </c>
      <c r="S1" s="21"/>
      <c r="T1" s="21"/>
      <c r="U1" s="21"/>
      <c r="V1" s="22"/>
      <c r="W1" s="28" t="s">
        <v>6</v>
      </c>
      <c r="X1" s="21"/>
      <c r="Y1" s="21"/>
      <c r="Z1" s="21"/>
      <c r="AA1" s="22"/>
      <c r="AB1" s="29" t="s">
        <v>7</v>
      </c>
      <c r="AC1" s="21"/>
      <c r="AD1" s="22"/>
      <c r="AE1" s="20" t="s">
        <v>8</v>
      </c>
      <c r="AF1" s="21"/>
      <c r="AG1" s="21"/>
      <c r="AH1" s="21"/>
      <c r="AI1" s="22"/>
      <c r="AJ1" s="27" t="s">
        <v>9</v>
      </c>
      <c r="AK1" s="21"/>
      <c r="AL1" s="21"/>
      <c r="AM1" s="21"/>
      <c r="AN1" s="22"/>
      <c r="AO1" s="20" t="s">
        <v>10</v>
      </c>
      <c r="AP1" s="21"/>
      <c r="AQ1" s="21"/>
      <c r="AR1" s="21"/>
      <c r="AS1" s="22"/>
      <c r="AT1" s="27" t="s">
        <v>11</v>
      </c>
      <c r="AU1" s="21"/>
      <c r="AV1" s="21"/>
      <c r="AW1" s="21"/>
      <c r="AX1" s="22"/>
      <c r="AY1" s="20" t="s">
        <v>12</v>
      </c>
      <c r="AZ1" s="21"/>
      <c r="BA1" s="21"/>
      <c r="BB1" s="21"/>
      <c r="BC1" s="22"/>
      <c r="BD1" s="1"/>
      <c r="BE1" s="2"/>
      <c r="BF1" s="2"/>
      <c r="BG1" s="2"/>
      <c r="BH1" s="2"/>
    </row>
    <row r="2" spans="1:60" ht="13.2" x14ac:dyDescent="0.25">
      <c r="A2" s="24"/>
      <c r="B2" s="24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3.2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3.2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3.2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3.2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3.2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3.2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3.2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3.2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3.2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3.2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3.2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3.2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3.2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3.2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3.2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3.2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3.2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3.2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3.2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3.2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3.2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3.2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3.2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3.2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3.2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3.2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3.2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3.2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3.2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3.2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3.2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3.2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3.2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3.2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3.2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3.2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3.2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3.2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3.2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3.2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3.2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3.2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3.2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3.2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3.2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3.2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3.2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3.2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3.2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3.2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3.2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3.2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3.2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3.2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3.2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3.2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3.2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3.2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3.2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3.2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3.2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3.2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3.2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3.2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3.2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3.2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3.2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3.2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3.2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3.2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3.2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3.2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3.2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3.2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3.2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3.2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3.2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3.2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3.2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3.2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3.2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3.2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3.2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3.2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3.2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3.2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3.2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3.2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3.2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3.2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3.2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3.2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3.2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3.2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3.2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3.2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3.2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3.2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3.2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3.2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3.2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3.2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3.2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3.2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3.2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3.2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3.2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3.2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3.2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3.2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3.2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3.2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3.2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3.2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3.2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3.2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3.2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3.2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3.2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3.2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3.2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3.2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3.2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3.2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3.2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3.2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3.2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3.2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3.2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3.2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3.2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3.2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3.2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3.2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3.2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3.2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3.2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3.2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3.2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3.2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3.2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3.2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3.2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3.2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3.2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3.2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3.2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3.2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3.2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3.2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3.2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3.2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3.2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3.2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3.2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3.2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3.2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3.2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3.2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3.2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3.2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3.2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3.2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3.2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3.2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3.2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3.2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3.2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3.2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3.2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3.2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3.2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3.2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3.2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3.2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3.2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3.2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3.2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3.2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3.2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3.2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3.2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3.2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3.2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3.2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3.2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3.2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3.2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3.2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3.2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3.2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3.2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3.2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3.2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3.2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3.2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3.2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3.2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3.2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3.2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3.2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3.2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3.2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3.2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3.2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3.2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3.2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3.2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3.2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3.2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3.2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3.2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3.2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3.2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3.2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3.2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3.2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3.2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3.2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3.2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3.2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3.2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3.2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3.2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3.2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3.2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3.2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3.2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3.2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3.2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3.2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3.2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3.2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3.2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3.2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3.2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3.2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3.2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3.2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3.2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3.2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3.2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3.2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3.2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3.2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3.2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3.2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3.2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3.2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3.2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3.2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3.2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3.2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3.2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3.2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3.2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3.2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3.2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3.2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3.2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3.2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3.2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3.2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3.2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3.2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3.2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3.2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3.2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3.2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3.2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3.2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3.2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3.2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3.2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3.2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3.2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3.2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3.2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3.2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3.2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3.2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3.2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3.2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3.2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3.2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3.2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3.2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3.2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3.2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3.2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3.2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3.2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3.2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3.2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6" x14ac:dyDescent="0.3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6" x14ac:dyDescent="0.3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6" x14ac:dyDescent="0.3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6" x14ac:dyDescent="0.3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6" x14ac:dyDescent="0.3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6" x14ac:dyDescent="0.3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6" x14ac:dyDescent="0.3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6" x14ac:dyDescent="0.3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6" x14ac:dyDescent="0.3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6" x14ac:dyDescent="0.3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6" x14ac:dyDescent="0.3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6" x14ac:dyDescent="0.3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6" x14ac:dyDescent="0.3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6" x14ac:dyDescent="0.3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3.2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3.2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3.2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3.2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3.2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3.2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3.2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3.2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3.2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3.2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3.2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3.2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3.2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3.2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3.2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3.2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3.2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3.2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3.2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3.2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3.2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3.2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3.2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3.2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3.2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3.2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3.2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3.2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3.2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3.2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3.2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3.2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3.2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3.2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3.2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3.2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3.2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3.2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3.2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3.2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3.2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3.2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3.2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3.2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3.2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3.2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3.2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3.2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3.2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3.2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3.2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3.2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3.2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3.2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3.2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3.2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3.2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3.2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3.2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3.2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3.2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3.2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3.2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3.2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3.2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3.2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3.2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3.2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3.2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3.2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3.2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3.2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3.2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3.2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3.2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3.2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3.2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3.2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3.2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3.2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3.2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3.2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3.2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3.2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3.2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3.2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3.2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3.2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3.2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3.2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3.2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3.2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3.2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3.2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3.2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3.2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3.2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3.2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3.2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3.2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3.2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3.2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3.2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3.2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3.2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3.2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3.2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3.2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3.2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3.2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3.2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3.2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3.2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3.2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3.2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3.2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3.2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3.2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3.2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3.2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3.2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3.2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3.2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3.2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3.2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3.2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3.2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3.2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3.2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3.2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3.2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3.2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3.2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3.2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3.2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3.2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3.2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3.2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3.2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3.2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3.2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3.2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3.2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3.2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3.2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3.2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3.2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3.2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3.2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3.2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3.2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3.2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3.2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3.2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3.2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3.2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3.2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3.2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3.2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3.2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3.2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3.2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3.2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3.2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3.2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3.2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3.2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3.2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3.2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3.2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3.2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3.2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3.2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3.2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3.2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3.2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3.2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3.2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3.2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3.2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3.2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3.2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3.2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3.2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3.2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3.2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daffa lukman</cp:lastModifiedBy>
  <dcterms:created xsi:type="dcterms:W3CDTF">2026-02-09T09:32:02Z</dcterms:created>
  <dcterms:modified xsi:type="dcterms:W3CDTF">2026-02-09T09:32:02Z</dcterms:modified>
</cp:coreProperties>
</file>